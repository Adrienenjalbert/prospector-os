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Init 6" sheetId="2" state="visible" r:id="rId4"/>
    <sheet name="Init 1" sheetId="3" state="visible" r:id="rId5"/>
    <sheet name="Init 3" sheetId="4" state="visible" r:id="rId6"/>
    <sheet name="Init 4" sheetId="5" state="visible" r:id="rId7"/>
    <sheet name="Init 5" sheetId="6" state="visible" r:id="rId8"/>
    <sheet name="Init 2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<sst xmlns="http://schemas.openxmlformats.org/spreadsheetml/2006/main" count="491" uniqueCount="289">
  <si>
    <t xml:space="preserve">AI OS for Revenue — Testing &amp; QA Matrix</t>
  </si>
  <si>
    <t xml:space="preserve">Test cases, acceptance criteria, and go/no-go gates for all six initiatives</t>
  </si>
  <si>
    <t xml:space="preserve">Init #</t>
  </si>
  <si>
    <t xml:space="preserve">Initiative</t>
  </si>
  <si>
    <t xml:space="preserve">Phase</t>
  </si>
  <si>
    <t xml:space="preserve">Total Tests</t>
  </si>
  <si>
    <t xml:space="preserve">Pass</t>
  </si>
  <si>
    <t xml:space="preserve">Fail</t>
  </si>
  <si>
    <t xml:space="preserve">Pending</t>
  </si>
  <si>
    <t xml:space="preserve">6</t>
  </si>
  <si>
    <t xml:space="preserve">Revenue Data Concierge</t>
  </si>
  <si>
    <t xml:space="preserve">Phase 1</t>
  </si>
  <si>
    <t xml:space="preserve">1</t>
  </si>
  <si>
    <t xml:space="preserve">New Business Execution</t>
  </si>
  <si>
    <t xml:space="preserve">3</t>
  </si>
  <si>
    <t xml:space="preserve">AD Strategic Narrative</t>
  </si>
  <si>
    <t xml:space="preserve">Phase 2</t>
  </si>
  <si>
    <t xml:space="preserve">4</t>
  </si>
  <si>
    <t xml:space="preserve">CSM Retention Guardian</t>
  </si>
  <si>
    <t xml:space="preserve">5</t>
  </si>
  <si>
    <t xml:space="preserve">Leadership Synthesis</t>
  </si>
  <si>
    <t xml:space="preserve">Phase 3</t>
  </si>
  <si>
    <t xml:space="preserve">2</t>
  </si>
  <si>
    <t xml:space="preserve">Growth AE Expansion</t>
  </si>
  <si>
    <t xml:space="preserve">Phase 4</t>
  </si>
  <si>
    <t xml:space="preserve">Initiative 6: Revenue Data Concierge — Test Cases</t>
  </si>
  <si>
    <t xml:space="preserve">Phase 1  |  Testing &amp; Acceptance Criteria</t>
  </si>
  <si>
    <t xml:space="preserve">Test ID</t>
  </si>
  <si>
    <t xml:space="preserve">Test Name</t>
  </si>
  <si>
    <t xml:space="preserve">Description</t>
  </si>
  <si>
    <t xml:space="preserve">Method</t>
  </si>
  <si>
    <t xml:space="preserve">Acceptance Criteria</t>
  </si>
  <si>
    <t xml:space="preserve">Stage</t>
  </si>
  <si>
    <t xml:space="preserve">Owner</t>
  </si>
  <si>
    <t xml:space="preserve">Status</t>
  </si>
  <si>
    <t xml:space="preserve">Notes</t>
  </si>
  <si>
    <t xml:space="preserve">TC-6.01</t>
  </si>
  <si>
    <t xml:space="preserve">HubSpot MCP Connection</t>
  </si>
  <si>
    <t xml:space="preserve">MCP server connects to HubSpot and returns account data</t>
  </si>
  <si>
    <t xml:space="preserve">Query 5 known accounts, verify data matches HubSpot UI</t>
  </si>
  <si>
    <t xml:space="preserve">100% match</t>
  </si>
  <si>
    <t xml:space="preserve">Scope</t>
  </si>
  <si>
    <t xml:space="preserve">Adrien</t>
  </si>
  <si>
    <t xml:space="preserve">PENDING</t>
  </si>
  <si>
    <t xml:space="preserve">TC-6.02</t>
  </si>
  <si>
    <t xml:space="preserve">Natural Language Query</t>
  </si>
  <si>
    <t xml:space="preserve">Slack interface interprets NL queries correctly</t>
  </si>
  <si>
    <t xml:space="preserve">Test 10 varied query phrasings for same data point</t>
  </si>
  <si>
    <t xml:space="preserve">8/10 correct interpretation</t>
  </si>
  <si>
    <t xml:space="preserve">Build</t>
  </si>
  <si>
    <t xml:space="preserve">Olga</t>
  </si>
  <si>
    <t xml:space="preserve">TC-6.03</t>
  </si>
  <si>
    <t xml:space="preserve">Response Latency</t>
  </si>
  <si>
    <t xml:space="preserve">Query-to-answer time under 60 seconds</t>
  </si>
  <si>
    <t xml:space="preserve">Time 20 queries across different data sources</t>
  </si>
  <si>
    <t xml:space="preserve">95th percentile &lt; 60s</t>
  </si>
  <si>
    <t xml:space="preserve">Test</t>
  </si>
  <si>
    <t xml:space="preserve">TC-6.04</t>
  </si>
  <si>
    <t xml:space="preserve">Citation Accuracy</t>
  </si>
  <si>
    <t xml:space="preserve">Every response cites its data source</t>
  </si>
  <si>
    <t xml:space="preserve">Verify 15 responses include clickable source links</t>
  </si>
  <si>
    <t xml:space="preserve">100% citation rate</t>
  </si>
  <si>
    <t xml:space="preserve">TC-6.05</t>
  </si>
  <si>
    <t xml:space="preserve">Tableau Data Access</t>
  </si>
  <si>
    <t xml:space="preserve">Tableau MCP returns fulfillment/performance data</t>
  </si>
  <si>
    <t xml:space="preserve">Query 5 known metrics, verify against Tableau dashboard</t>
  </si>
  <si>
    <t xml:space="preserve">Bill</t>
  </si>
  <si>
    <t xml:space="preserve">TC-6.06</t>
  </si>
  <si>
    <t xml:space="preserve">Pilot User Satisfaction</t>
  </si>
  <si>
    <t xml:space="preserve">Tom and Leonie rate experience 4+/5</t>
  </si>
  <si>
    <t xml:space="preserve">2-week pilot with daily usage, structured feedback form</t>
  </si>
  <si>
    <t xml:space="preserve">Average rating &gt;= 4.0</t>
  </si>
  <si>
    <t xml:space="preserve">Pilot</t>
  </si>
  <si>
    <t xml:space="preserve">Tom</t>
  </si>
  <si>
    <t xml:space="preserve">TC-6.07</t>
  </si>
  <si>
    <t xml:space="preserve">Error Handling</t>
  </si>
  <si>
    <t xml:space="preserve">System handles bad queries gracefully</t>
  </si>
  <si>
    <t xml:space="preserve">Submit 5 ambiguous/impossible queries</t>
  </si>
  <si>
    <t xml:space="preserve">No crashes, helpful error messages</t>
  </si>
  <si>
    <t xml:space="preserve">TC-6.08</t>
  </si>
  <si>
    <t xml:space="preserve">Adoption Metric Baseline</t>
  </si>
  <si>
    <t xml:space="preserve">Track Tableau direct login frequency</t>
  </si>
  <si>
    <t xml:space="preserve">Record baseline logins for 2 weeks pre-launch</t>
  </si>
  <si>
    <t xml:space="preserve">Baseline established</t>
  </si>
  <si>
    <t xml:space="preserve">GO / NO-GO CRITERIA</t>
  </si>
  <si>
    <t xml:space="preserve">HubSpot MCP returns accurate data for all test queries</t>
  </si>
  <si>
    <t xml:space="preserve">Slack NL interface achieves 80%+ correct interpretation</t>
  </si>
  <si>
    <t xml:space="preserve">Response latency under 60s at 95th percentile</t>
  </si>
  <si>
    <t xml:space="preserve">100% citation rate on all responses</t>
  </si>
  <si>
    <t xml:space="preserve">Pilot users rate 4+/5 average satisfaction</t>
  </si>
  <si>
    <t xml:space="preserve">LAUNCH DECISION:</t>
  </si>
  <si>
    <t xml:space="preserve">Initiative 1: New Business Execution — Test Cases</t>
  </si>
  <si>
    <t xml:space="preserve">TC-1.01</t>
  </si>
  <si>
    <t xml:space="preserve">Salesforce Trigger</t>
  </si>
  <si>
    <t xml:space="preserve">New opportunity fires workflow</t>
  </si>
  <si>
    <t xml:space="preserve">Create 5 test opportunities in Salesforce</t>
  </si>
  <si>
    <t xml:space="preserve">100% trigger rate</t>
  </si>
  <si>
    <t xml:space="preserve">TC-1.02</t>
  </si>
  <si>
    <t xml:space="preserve">Account Plan Format</t>
  </si>
  <si>
    <t xml:space="preserve">Output matches existing team template</t>
  </si>
  <si>
    <t xml:space="preserve">Compare 3 outputs against template structure</t>
  </si>
  <si>
    <t xml:space="preserve">All sections present, correct order</t>
  </si>
  <si>
    <t xml:space="preserve">TC-1.03</t>
  </si>
  <si>
    <t xml:space="preserve">Enrichment Accuracy</t>
  </si>
  <si>
    <t xml:space="preserve">Stakeholder and touchpoint data is correct</t>
  </si>
  <si>
    <t xml:space="preserve">Verify 5 account enrichments against CRM records</t>
  </si>
  <si>
    <t xml:space="preserve">95%+ data accuracy</t>
  </si>
  <si>
    <t xml:space="preserve">TC-1.04</t>
  </si>
  <si>
    <t xml:space="preserve">Discovery Questions</t>
  </si>
  <si>
    <t xml:space="preserve">Generated questions are relevant and actionable</t>
  </si>
  <si>
    <t xml:space="preserve">ADs rate 10 sets of discovery questions 1-5</t>
  </si>
  <si>
    <t xml:space="preserve">Average &gt;= 4.0</t>
  </si>
  <si>
    <t xml:space="preserve">Brett</t>
  </si>
  <si>
    <t xml:space="preserve">TC-1.05</t>
  </si>
  <si>
    <t xml:space="preserve">Positioning Angles</t>
  </si>
  <si>
    <t xml:space="preserve">Objection handling is relevant to account context</t>
  </si>
  <si>
    <t xml:space="preserve">3 ADs review positioning for their real accounts</t>
  </si>
  <si>
    <t xml:space="preserve">Approved by 3/3 ADs</t>
  </si>
  <si>
    <t xml:space="preserve">Leonie</t>
  </si>
  <si>
    <t xml:space="preserve">TC-1.06</t>
  </si>
  <si>
    <t xml:space="preserve">Post-Call Synthesis</t>
  </si>
  <si>
    <t xml:space="preserve">Transcript analysis produces accurate follow-ups</t>
  </si>
  <si>
    <t xml:space="preserve">Compare 5 syntheses against manual notes</t>
  </si>
  <si>
    <t xml:space="preserve">90%+ key point capture</t>
  </si>
  <si>
    <t xml:space="preserve">TC-1.07</t>
  </si>
  <si>
    <t xml:space="preserve">Co-Build Iteration</t>
  </si>
  <si>
    <t xml:space="preserve">AD feedback incorporated across 3 rounds</t>
  </si>
  <si>
    <t xml:space="preserve">Track feedback items resolved per round</t>
  </si>
  <si>
    <t xml:space="preserve">80%+ items addressed</t>
  </si>
  <si>
    <t xml:space="preserve">Refine</t>
  </si>
  <si>
    <t xml:space="preserve">Salesforce trigger fires 100% on new opportunities</t>
  </si>
  <si>
    <t xml:space="preserve">Account plan output matches team template format</t>
  </si>
  <si>
    <t xml:space="preserve">3 ADs approve output quality</t>
  </si>
  <si>
    <t xml:space="preserve">Enrichment data 95%+ accurate</t>
  </si>
  <si>
    <t xml:space="preserve">Post-call synthesis captures 90%+ key points</t>
  </si>
  <si>
    <t xml:space="preserve">Initiative 3: AD Strategic Narrative — Test Cases</t>
  </si>
  <si>
    <t xml:space="preserve">Phase 2  |  Testing &amp; Acceptance Criteria</t>
  </si>
  <si>
    <t xml:space="preserve">TC-3.01</t>
  </si>
  <si>
    <t xml:space="preserve">Narrative Critic Quality</t>
  </si>
  <si>
    <t xml:space="preserve">Agent identifies genuine weaknesses in narratives</t>
  </si>
  <si>
    <t xml:space="preserve">Submit 5 narratives with known gaps</t>
  </si>
  <si>
    <t xml:space="preserve">Identifies 80%+ of planted gaps</t>
  </si>
  <si>
    <t xml:space="preserve">TC-3.02</t>
  </si>
  <si>
    <t xml:space="preserve">Stakeholder Map Accuracy</t>
  </si>
  <si>
    <t xml:space="preserve">Generated maps match AD manual versions</t>
  </si>
  <si>
    <t xml:space="preserve">Compare 3 maps against AD-built versions</t>
  </si>
  <si>
    <t xml:space="preserve">90%+ stakeholder coverage</t>
  </si>
  <si>
    <t xml:space="preserve">TC-3.03</t>
  </si>
  <si>
    <t xml:space="preserve">Strategic Depth</t>
  </si>
  <si>
    <t xml:space="preserve">Soundboard interaction goes beyond surface-level</t>
  </si>
  <si>
    <t xml:space="preserve">3 ADs rate Q&amp;A depth 1-5</t>
  </si>
  <si>
    <t xml:space="preserve">TC-3.04</t>
  </si>
  <si>
    <t xml:space="preserve">Tableau Integration</t>
  </si>
  <si>
    <t xml:space="preserve">Performance data flows into narrative context</t>
  </si>
  <si>
    <t xml:space="preserve">Verify 5 narratives include correct metrics</t>
  </si>
  <si>
    <t xml:space="preserve">100% data accuracy</t>
  </si>
  <si>
    <t xml:space="preserve">TC-3.05</t>
  </si>
  <si>
    <t xml:space="preserve">Transcript Context</t>
  </si>
  <si>
    <t xml:space="preserve">Conversation intelligence enriches narrative</t>
  </si>
  <si>
    <t xml:space="preserve">Compare narrative with/without transcript context</t>
  </si>
  <si>
    <t xml:space="preserve">Measurable quality improvement</t>
  </si>
  <si>
    <t xml:space="preserve">TC-3.06</t>
  </si>
  <si>
    <t xml:space="preserve">QBR Template Fit</t>
  </si>
  <si>
    <t xml:space="preserve">Output integrates with existing QBR format</t>
  </si>
  <si>
    <t xml:space="preserve">Run 3 QBR preps using the agent</t>
  </si>
  <si>
    <t xml:space="preserve">ADs approve format fit</t>
  </si>
  <si>
    <t xml:space="preserve">TC-3.07</t>
  </si>
  <si>
    <t xml:space="preserve">C-Suite Readiness</t>
  </si>
  <si>
    <t xml:space="preserve">Output quality suitable for executive audience</t>
  </si>
  <si>
    <t xml:space="preserve">Leadership reviews 3 sample narratives</t>
  </si>
  <si>
    <t xml:space="preserve">Approved for external use</t>
  </si>
  <si>
    <t xml:space="preserve">Narrative critic identifies 80%+ of known gaps</t>
  </si>
  <si>
    <t xml:space="preserve">Stakeholder maps 90%+ accurate vs manual</t>
  </si>
  <si>
    <t xml:space="preserve">Tableau data flowing correctly</t>
  </si>
  <si>
    <t xml:space="preserve">ADs rate strategic depth 4+/5</t>
  </si>
  <si>
    <t xml:space="preserve">Output approved for C-suite audience</t>
  </si>
  <si>
    <t xml:space="preserve">Initiative 4: CSM Retention Guardian — Test Cases</t>
  </si>
  <si>
    <t xml:space="preserve">TC-4.01</t>
  </si>
  <si>
    <t xml:space="preserve">Theme Summarisation</t>
  </si>
  <si>
    <t xml:space="preserve">Recurring topics correctly identified across transcripts</t>
  </si>
  <si>
    <t xml:space="preserve">Run on 20 transcripts, compare against manual themes</t>
  </si>
  <si>
    <t xml:space="preserve">80%+ theme match</t>
  </si>
  <si>
    <t xml:space="preserve">TC-4.02</t>
  </si>
  <si>
    <t xml:space="preserve">Escalation Draft Quality</t>
  </si>
  <si>
    <t xml:space="preserve">Auto-generated proposals are accurate and appropriate</t>
  </si>
  <si>
    <t xml:space="preserve">CSMs rate 5 drafts for accuracy and tone</t>
  </si>
  <si>
    <t xml:space="preserve">Sarah</t>
  </si>
  <si>
    <t xml:space="preserve">TC-4.03</t>
  </si>
  <si>
    <t xml:space="preserve">False Positive Rate</t>
  </si>
  <si>
    <t xml:space="preserve">Healthy accounts not flagged as at-risk</t>
  </si>
  <si>
    <t xml:space="preserve">Test against 10 known healthy accounts</t>
  </si>
  <si>
    <t xml:space="preserve">Zero false positives</t>
  </si>
  <si>
    <t xml:space="preserve">TC-4.04</t>
  </si>
  <si>
    <t xml:space="preserve">Service Ticket Integration</t>
  </si>
  <si>
    <t xml:space="preserve">Ticket themes correctly categorised</t>
  </si>
  <si>
    <t xml:space="preserve">Verify 15 ticket theme classifications</t>
  </si>
  <si>
    <t xml:space="preserve">85%+ accuracy</t>
  </si>
  <si>
    <t xml:space="preserve">TBC</t>
  </si>
  <si>
    <t xml:space="preserve">TC-4.05</t>
  </si>
  <si>
    <t xml:space="preserve">Historical Back-Test</t>
  </si>
  <si>
    <t xml:space="preserve">System would have caught past churn cases</t>
  </si>
  <si>
    <t xml:space="preserve">Run against 10 historical churn events</t>
  </si>
  <si>
    <t xml:space="preserve">80%+ detection rate</t>
  </si>
  <si>
    <t xml:space="preserve">TC-4.06</t>
  </si>
  <si>
    <t xml:space="preserve">Transcript Pipeline</t>
  </si>
  <si>
    <t xml:space="preserve">Transcripts ingested and retrievable</t>
  </si>
  <si>
    <t xml:space="preserve">Ingest 50 transcripts, query 10 specific conversations</t>
  </si>
  <si>
    <t xml:space="preserve">100% retrieval success</t>
  </si>
  <si>
    <t xml:space="preserve">Data Team</t>
  </si>
  <si>
    <t xml:space="preserve">TC-4.07</t>
  </si>
  <si>
    <t xml:space="preserve">CSM Pilot Approval</t>
  </si>
  <si>
    <t xml:space="preserve">CSM team validates utility in daily workflow</t>
  </si>
  <si>
    <t xml:space="preserve">3-week pilot with structured daily feedback</t>
  </si>
  <si>
    <t xml:space="preserve">80%+ daily usage rate</t>
  </si>
  <si>
    <t xml:space="preserve">Theme summarisation 80%+ match with manual</t>
  </si>
  <si>
    <t xml:space="preserve">Zero false positive churn signals</t>
  </si>
  <si>
    <t xml:space="preserve">Back-test catches 80%+ historical churn</t>
  </si>
  <si>
    <t xml:space="preserve">CSM team 80%+ daily usage in pilot</t>
  </si>
  <si>
    <t xml:space="preserve">Transcript pipeline 100% retrieval</t>
  </si>
  <si>
    <t xml:space="preserve">Initiative 5: Leadership Synthesis — Test Cases</t>
  </si>
  <si>
    <t xml:space="preserve">Phase 3  |  Testing &amp; Acceptance Criteria</t>
  </si>
  <si>
    <t xml:space="preserve">TC-5.01</t>
  </si>
  <si>
    <t xml:space="preserve">Objection Digest</t>
  </si>
  <si>
    <t xml:space="preserve">Common objections match leadership observations</t>
  </si>
  <si>
    <t xml:space="preserve">Compare digest against leadership's known patterns</t>
  </si>
  <si>
    <t xml:space="preserve">90%+ pattern match</t>
  </si>
  <si>
    <t xml:space="preserve">James</t>
  </si>
  <si>
    <t xml:space="preserve">TC-5.02</t>
  </si>
  <si>
    <t xml:space="preserve">Pipeline Risk Flags</t>
  </si>
  <si>
    <t xml:space="preserve">Risk flags correlate with deal outcomes</t>
  </si>
  <si>
    <t xml:space="preserve">Back-test against 20 historical deal outcomes</t>
  </si>
  <si>
    <t xml:space="preserve">75%+ correlation</t>
  </si>
  <si>
    <t xml:space="preserve">TC-5.03</t>
  </si>
  <si>
    <t xml:space="preserve">Coaching Themes</t>
  </si>
  <si>
    <t xml:space="preserve">Detected patterns are real, not noise</t>
  </si>
  <si>
    <t xml:space="preserve">Leadership validates 10 detected themes</t>
  </si>
  <si>
    <t xml:space="preserve">80%+ validated as real</t>
  </si>
  <si>
    <t xml:space="preserve">TC-5.04</t>
  </si>
  <si>
    <t xml:space="preserve">Cross-Rep Patterns</t>
  </si>
  <si>
    <t xml:space="preserve">Pattern detection works at scale</t>
  </si>
  <si>
    <t xml:space="preserve">Run across 5+ reps, verify patterns</t>
  </si>
  <si>
    <t xml:space="preserve">Consistent detection across reps</t>
  </si>
  <si>
    <t xml:space="preserve">TC-5.05</t>
  </si>
  <si>
    <t xml:space="preserve">Forecast Guardrail</t>
  </si>
  <si>
    <t xml:space="preserve">System does NOT produce forecast scores</t>
  </si>
  <si>
    <t xml:space="preserve">Verify no confidence scores in 20 outputs</t>
  </si>
  <si>
    <t xml:space="preserve">Zero forecast scores present</t>
  </si>
  <si>
    <t xml:space="preserve">TC-5.06</t>
  </si>
  <si>
    <t xml:space="preserve">Leadership Pilot</t>
  </si>
  <si>
    <t xml:space="preserve">James, Tom, Leonie approve for weekly use</t>
  </si>
  <si>
    <t xml:space="preserve">2-week pilot with structured feedback</t>
  </si>
  <si>
    <t xml:space="preserve">All 3 approve for continued use</t>
  </si>
  <si>
    <t xml:space="preserve">Objection digest 90%+ matches leadership observations</t>
  </si>
  <si>
    <t xml:space="preserve">Pipeline risk flags 75%+ correlation with outcomes</t>
  </si>
  <si>
    <t xml:space="preserve">Zero forecast confidence scores in output</t>
  </si>
  <si>
    <t xml:space="preserve">All 3 leaders approve for weekly use</t>
  </si>
  <si>
    <t xml:space="preserve">Cross-rep patterns validated across 5+ reps</t>
  </si>
  <si>
    <t xml:space="preserve">Initiative 2: Growth AE Expansion — Test Cases</t>
  </si>
  <si>
    <t xml:space="preserve">Phase 4  |  Testing &amp; Acceptance Criteria</t>
  </si>
  <si>
    <t xml:space="preserve">TC-2.01</t>
  </si>
  <si>
    <t xml:space="preserve">Snowflake Data Access</t>
  </si>
  <si>
    <t xml:space="preserve">Ops economics data is queryable</t>
  </si>
  <si>
    <t xml:space="preserve">Query 5 known data points from Snowflake</t>
  </si>
  <si>
    <t xml:space="preserve">100% data retrieval</t>
  </si>
  <si>
    <t xml:space="preserve">TC-2.02</t>
  </si>
  <si>
    <t xml:space="preserve">Business Rule Validation</t>
  </si>
  <si>
    <t xml:space="preserve">Expansion logic confirmed by Ops</t>
  </si>
  <si>
    <t xml:space="preserve">Ops counterpart reviews 10 business rules</t>
  </si>
  <si>
    <t xml:space="preserve">100% confirmed</t>
  </si>
  <si>
    <t xml:space="preserve">TC-2.03</t>
  </si>
  <si>
    <t xml:space="preserve">Pressure Test Simulation</t>
  </si>
  <si>
    <t xml:space="preserve">Profitability validator works on real deals</t>
  </si>
  <si>
    <t xml:space="preserve">Run on 3 historical expansion deals</t>
  </si>
  <si>
    <t xml:space="preserve">Results match known outcomes</t>
  </si>
  <si>
    <t xml:space="preserve">TC-2.04</t>
  </si>
  <si>
    <t xml:space="preserve">Margin Risk Accuracy</t>
  </si>
  <si>
    <t xml:space="preserve">Agency reliance calculations are correct</t>
  </si>
  <si>
    <t xml:space="preserve">Verify 5 margin calculations against actuals</t>
  </si>
  <si>
    <t xml:space="preserve">95%+ accuracy</t>
  </si>
  <si>
    <t xml:space="preserve">TC-2.05</t>
  </si>
  <si>
    <t xml:space="preserve">Output Format Approval</t>
  </si>
  <si>
    <t xml:space="preserve">Growth AE team approves deliverable format</t>
  </si>
  <si>
    <t xml:space="preserve">3 Growth AEs review sample outputs</t>
  </si>
  <si>
    <t xml:space="preserve">Approved by 3/3</t>
  </si>
  <si>
    <t xml:space="preserve">Snowflake ops data accessible and schema documented</t>
  </si>
  <si>
    <t xml:space="preserve">Ops counterpart confirms 100% of business rules</t>
  </si>
  <si>
    <t xml:space="preserve">Pressure test matches known historical outcomes</t>
  </si>
  <si>
    <t xml:space="preserve">Margin calculations 95%+ accurate</t>
  </si>
  <si>
    <t xml:space="preserve">Growth AE team approves output format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</si>
</sst>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02809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28090"/>
      <name val="Arial"/>
      <family val="0"/>
      <charset val="1"/>
    </font>
    <font>
      <b val="true"/>
      <sz val="12"/>
      <color rgb="FF1E276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FF3C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 diagonalUp="false" diagonalDown="false">
      <left style="thin">
        <color rgb="FFDEE2E6"/>
      </left>
      <right/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7" min="5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n">
        <v>8</v>
      </c>
      <c r="E5" s="4" t="n">
        <f aca="false">COUNTIF('Init 6'!H:H,"PASS")</f>
        <v>0</v>
      </c>
      <c r="F5" s="4" t="n">
        <f aca="false">COUNTIF('Init 6'!H:H,"FAIL")</f>
        <v>0</v>
      </c>
      <c r="G5" s="4" t="n">
        <f aca="false">COUNTIF('Init 6'!H:H,"PENDING")</f>
        <v>14</v>
      </c>
    </row>
    <row r="6" customFormat="false" ht="15" hidden="false" customHeight="false" outlineLevel="0" collapsed="false">
      <c r="A6" s="4" t="s">
        <v>12</v>
      </c>
      <c r="B6" s="4" t="s">
        <v>13</v>
      </c>
      <c r="C6" s="4" t="s">
        <v>11</v>
      </c>
      <c r="D6" s="4" t="n">
        <v>7</v>
      </c>
      <c r="E6" s="4" t="n">
        <f aca="false">COUNTIF('Init 1'!H:H,"PASS")</f>
        <v>0</v>
      </c>
      <c r="F6" s="4" t="n">
        <f aca="false">COUNTIF('Init 1'!H:H,"FAIL")</f>
        <v>0</v>
      </c>
      <c r="G6" s="4" t="n">
        <f aca="false">COUNTIF('Init 1'!H:H,"PENDING")</f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n">
        <v>7</v>
      </c>
      <c r="E7" s="4" t="n">
        <f aca="false">COUNTIF('Init 3'!H:H,"PASS")</f>
        <v>0</v>
      </c>
      <c r="F7" s="4" t="n">
        <f aca="false">COUNTIF('Init 3'!H:H,"FAIL")</f>
        <v>0</v>
      </c>
      <c r="G7" s="4" t="n">
        <f aca="false">COUNTIF('Init 3'!H:H,"PENDING")</f>
        <v>13</v>
      </c>
    </row>
    <row r="8" customFormat="false" ht="15" hidden="false" customHeight="false" outlineLevel="0" collapsed="false">
      <c r="A8" s="4" t="s">
        <v>17</v>
      </c>
      <c r="B8" s="4" t="s">
        <v>18</v>
      </c>
      <c r="C8" s="4" t="s">
        <v>16</v>
      </c>
      <c r="D8" s="4" t="n">
        <v>7</v>
      </c>
      <c r="E8" s="4" t="n">
        <f aca="false">COUNTIF('Init 4'!H:H,"PASS")</f>
        <v>0</v>
      </c>
      <c r="F8" s="4" t="n">
        <f aca="false">COUNTIF('Init 4'!H:H,"FAIL")</f>
        <v>0</v>
      </c>
      <c r="G8" s="4" t="n">
        <f aca="false">COUNTIF('Init 4'!H:H,"PENDING")</f>
        <v>13</v>
      </c>
    </row>
    <row r="9" customFormat="false" ht="15" hidden="false" customHeight="false" outlineLevel="0" collapsed="false">
      <c r="A9" s="4" t="s">
        <v>19</v>
      </c>
      <c r="B9" s="4" t="s">
        <v>20</v>
      </c>
      <c r="C9" s="4" t="s">
        <v>21</v>
      </c>
      <c r="D9" s="4" t="n">
        <v>6</v>
      </c>
      <c r="E9" s="4" t="n">
        <f aca="false">COUNTIF('Init 5'!H:H,"PASS")</f>
        <v>0</v>
      </c>
      <c r="F9" s="4" t="n">
        <f aca="false">COUNTIF('Init 5'!H:H,"FAIL")</f>
        <v>0</v>
      </c>
      <c r="G9" s="4" t="n">
        <f aca="false">COUNTIF('Init 5'!H:H,"PENDING")</f>
        <v>12</v>
      </c>
    </row>
    <row r="10" customFormat="false" ht="15" hidden="false" customHeight="false" outlineLevel="0" collapsed="false">
      <c r="A10" s="4" t="s">
        <v>22</v>
      </c>
      <c r="B10" s="4" t="s">
        <v>23</v>
      </c>
      <c r="C10" s="4" t="s">
        <v>24</v>
      </c>
      <c r="D10" s="4" t="n">
        <v>5</v>
      </c>
      <c r="E10" s="4" t="n">
        <f aca="false">COUNTIF('Init 2'!H:H,"PASS")</f>
        <v>0</v>
      </c>
      <c r="F10" s="4" t="n">
        <f aca="false">COUNTIF('Init 2'!H:H,"FAIL")</f>
        <v>0</v>
      </c>
      <c r="G10" s="4" t="n">
        <f aca="false">COUNTIF('Init 2'!H:H,"PENDING")</f>
        <v>11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8090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35"/>
    <col collapsed="false" customWidth="true" hidden="false" outlineLevel="0" max="5" min="5" style="0" width="2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5" t="s">
        <v>25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26</v>
      </c>
      <c r="B2" s="6"/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customFormat="false" ht="23.85" hidden="false" customHeight="false" outlineLevel="0" collapsed="false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7" t="s">
        <v>43</v>
      </c>
      <c r="I5" s="4"/>
    </row>
    <row r="6" customFormat="false" ht="23.85" hidden="false" customHeight="false" outlineLevel="0" collapsed="false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7" t="s">
        <v>43</v>
      </c>
      <c r="I6" s="4"/>
    </row>
    <row r="7" customFormat="false" ht="23.85" hidden="false" customHeight="false" outlineLevel="0" collapsed="false">
      <c r="A7" s="4" t="s">
        <v>51</v>
      </c>
      <c r="B7" s="4" t="s">
        <v>52</v>
      </c>
      <c r="C7" s="4" t="s">
        <v>53</v>
      </c>
      <c r="D7" s="4" t="s">
        <v>54</v>
      </c>
      <c r="E7" s="4" t="s">
        <v>55</v>
      </c>
      <c r="F7" s="4" t="s">
        <v>56</v>
      </c>
      <c r="G7" s="4" t="s">
        <v>42</v>
      </c>
      <c r="H7" s="7" t="s">
        <v>43</v>
      </c>
      <c r="I7" s="4"/>
    </row>
    <row r="8" customFormat="false" ht="23.85" hidden="false" customHeight="false" outlineLevel="0" collapsed="false">
      <c r="A8" s="4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56</v>
      </c>
      <c r="G8" s="4" t="s">
        <v>50</v>
      </c>
      <c r="H8" s="7" t="s">
        <v>43</v>
      </c>
      <c r="I8" s="4"/>
    </row>
    <row r="9" customFormat="false" ht="23.85" hidden="false" customHeight="false" outlineLevel="0" collapsed="false">
      <c r="A9" s="4" t="s">
        <v>62</v>
      </c>
      <c r="B9" s="4" t="s">
        <v>63</v>
      </c>
      <c r="C9" s="4" t="s">
        <v>64</v>
      </c>
      <c r="D9" s="4" t="s">
        <v>65</v>
      </c>
      <c r="E9" s="4" t="s">
        <v>40</v>
      </c>
      <c r="F9" s="4" t="s">
        <v>49</v>
      </c>
      <c r="G9" s="4" t="s">
        <v>66</v>
      </c>
      <c r="H9" s="7" t="s">
        <v>43</v>
      </c>
      <c r="I9" s="4"/>
    </row>
    <row r="10" customFormat="false" ht="23.85" hidden="false" customHeight="false" outlineLevel="0" collapsed="false">
      <c r="A10" s="4" t="s">
        <v>67</v>
      </c>
      <c r="B10" s="4" t="s">
        <v>68</v>
      </c>
      <c r="C10" s="4" t="s">
        <v>69</v>
      </c>
      <c r="D10" s="4" t="s">
        <v>70</v>
      </c>
      <c r="E10" s="4" t="s">
        <v>71</v>
      </c>
      <c r="F10" s="4" t="s">
        <v>72</v>
      </c>
      <c r="G10" s="4" t="s">
        <v>73</v>
      </c>
      <c r="H10" s="7" t="s">
        <v>43</v>
      </c>
      <c r="I10" s="4"/>
    </row>
    <row r="11" customFormat="false" ht="23.85" hidden="false" customHeight="false" outlineLevel="0" collapsed="false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56</v>
      </c>
      <c r="G11" s="4" t="s">
        <v>50</v>
      </c>
      <c r="H11" s="7" t="s">
        <v>43</v>
      </c>
      <c r="I11" s="4"/>
    </row>
    <row r="12" customFormat="false" ht="23.85" hidden="false" customHeight="false" outlineLevel="0" collapsed="false">
      <c r="A12" s="4" t="s">
        <v>79</v>
      </c>
      <c r="B12" s="4" t="s">
        <v>80</v>
      </c>
      <c r="C12" s="4" t="s">
        <v>81</v>
      </c>
      <c r="D12" s="4" t="s">
        <v>82</v>
      </c>
      <c r="E12" s="4" t="s">
        <v>83</v>
      </c>
      <c r="F12" s="4" t="s">
        <v>41</v>
      </c>
      <c r="G12" s="4" t="s">
        <v>42</v>
      </c>
      <c r="H12" s="7" t="s">
        <v>43</v>
      </c>
      <c r="I12" s="4"/>
    </row>
    <row r="15" customFormat="false" ht="15" hidden="false" customHeight="false" outlineLevel="0" collapsed="false">
      <c r="A15" s="8" t="s">
        <v>84</v>
      </c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true" outlineLevel="0" collapsed="false">
      <c r="A16" s="9" t="n">
        <v>1</v>
      </c>
      <c r="B16" s="10" t="s">
        <v>85</v>
      </c>
      <c r="C16" s="10"/>
      <c r="D16" s="10"/>
      <c r="E16" s="10"/>
      <c r="F16" s="10"/>
      <c r="G16" s="10"/>
      <c r="H16" s="7" t="s">
        <v>43</v>
      </c>
      <c r="I16" s="11"/>
    </row>
    <row r="17" customFormat="false" ht="15" hidden="false" customHeight="true" outlineLevel="0" collapsed="false">
      <c r="A17" s="9" t="n">
        <v>2</v>
      </c>
      <c r="B17" s="10" t="s">
        <v>86</v>
      </c>
      <c r="C17" s="10"/>
      <c r="D17" s="10"/>
      <c r="E17" s="10"/>
      <c r="F17" s="10"/>
      <c r="G17" s="10"/>
      <c r="H17" s="7" t="s">
        <v>43</v>
      </c>
      <c r="I17" s="11"/>
    </row>
    <row r="18" customFormat="false" ht="15" hidden="false" customHeight="true" outlineLevel="0" collapsed="false">
      <c r="A18" s="9" t="n">
        <v>3</v>
      </c>
      <c r="B18" s="10" t="s">
        <v>87</v>
      </c>
      <c r="C18" s="10"/>
      <c r="D18" s="10"/>
      <c r="E18" s="10"/>
      <c r="F18" s="10"/>
      <c r="G18" s="10"/>
      <c r="H18" s="7" t="s">
        <v>43</v>
      </c>
      <c r="I18" s="11"/>
    </row>
    <row r="19" customFormat="false" ht="15" hidden="false" customHeight="true" outlineLevel="0" collapsed="false">
      <c r="A19" s="9" t="n">
        <v>4</v>
      </c>
      <c r="B19" s="10" t="s">
        <v>88</v>
      </c>
      <c r="C19" s="10"/>
      <c r="D19" s="10"/>
      <c r="E19" s="10"/>
      <c r="F19" s="10"/>
      <c r="G19" s="10"/>
      <c r="H19" s="7" t="s">
        <v>43</v>
      </c>
      <c r="I19" s="11"/>
    </row>
    <row r="20" customFormat="false" ht="15" hidden="false" customHeight="true" outlineLevel="0" collapsed="false">
      <c r="A20" s="9" t="n">
        <v>5</v>
      </c>
      <c r="B20" s="10" t="s">
        <v>89</v>
      </c>
      <c r="C20" s="10"/>
      <c r="D20" s="10"/>
      <c r="E20" s="10"/>
      <c r="F20" s="10"/>
      <c r="G20" s="10"/>
      <c r="H20" s="7" t="s">
        <v>43</v>
      </c>
      <c r="I20" s="11"/>
    </row>
    <row r="22" customFormat="false" ht="26.85" hidden="false" customHeight="false" outlineLevel="0" collapsed="false">
      <c r="A22" s="12" t="s">
        <v>90</v>
      </c>
      <c r="B22" s="12"/>
      <c r="C22" s="12"/>
      <c r="D22" s="12"/>
      <c r="E22" s="12"/>
      <c r="F22" s="12"/>
      <c r="G22" s="12"/>
      <c r="H22" s="13" t="s">
        <v>43</v>
      </c>
    </row>
  </sheetData>
  <mergeCells count="9">
    <mergeCell ref="A1:I1"/>
    <mergeCell ref="A2:I2"/>
    <mergeCell ref="A15:I15"/>
    <mergeCell ref="B16:G16"/>
    <mergeCell ref="B17:G17"/>
    <mergeCell ref="B18:G18"/>
    <mergeCell ref="B19:G19"/>
    <mergeCell ref="B20:G20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8090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35"/>
    <col collapsed="false" customWidth="true" hidden="false" outlineLevel="0" max="5" min="5" style="0" width="2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5" t="s">
        <v>91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26</v>
      </c>
      <c r="B2" s="6"/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customFormat="false" ht="15" hidden="false" customHeight="false" outlineLevel="0" collapsed="false">
      <c r="A5" s="4" t="s">
        <v>92</v>
      </c>
      <c r="B5" s="4" t="s">
        <v>93</v>
      </c>
      <c r="C5" s="4" t="s">
        <v>94</v>
      </c>
      <c r="D5" s="4" t="s">
        <v>95</v>
      </c>
      <c r="E5" s="4" t="s">
        <v>96</v>
      </c>
      <c r="F5" s="4" t="s">
        <v>49</v>
      </c>
      <c r="G5" s="4" t="s">
        <v>42</v>
      </c>
      <c r="H5" s="7" t="s">
        <v>43</v>
      </c>
      <c r="I5" s="4"/>
    </row>
    <row r="6" customFormat="false" ht="23.85" hidden="false" customHeight="false" outlineLevel="0" collapsed="false">
      <c r="A6" s="4" t="s">
        <v>97</v>
      </c>
      <c r="B6" s="4" t="s">
        <v>98</v>
      </c>
      <c r="C6" s="4" t="s">
        <v>99</v>
      </c>
      <c r="D6" s="4" t="s">
        <v>100</v>
      </c>
      <c r="E6" s="4" t="s">
        <v>101</v>
      </c>
      <c r="F6" s="4" t="s">
        <v>56</v>
      </c>
      <c r="G6" s="4" t="s">
        <v>50</v>
      </c>
      <c r="H6" s="7" t="s">
        <v>43</v>
      </c>
      <c r="I6" s="4"/>
    </row>
    <row r="7" customFormat="false" ht="23.85" hidden="false" customHeight="false" outlineLevel="0" collapsed="false">
      <c r="A7" s="4" t="s">
        <v>102</v>
      </c>
      <c r="B7" s="4" t="s">
        <v>103</v>
      </c>
      <c r="C7" s="4" t="s">
        <v>104</v>
      </c>
      <c r="D7" s="4" t="s">
        <v>105</v>
      </c>
      <c r="E7" s="4" t="s">
        <v>106</v>
      </c>
      <c r="F7" s="4" t="s">
        <v>56</v>
      </c>
      <c r="G7" s="4" t="s">
        <v>42</v>
      </c>
      <c r="H7" s="7" t="s">
        <v>43</v>
      </c>
      <c r="I7" s="4"/>
    </row>
    <row r="8" customFormat="false" ht="23.85" hidden="false" customHeight="false" outlineLevel="0" collapsed="false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72</v>
      </c>
      <c r="G8" s="4" t="s">
        <v>112</v>
      </c>
      <c r="H8" s="7" t="s">
        <v>43</v>
      </c>
      <c r="I8" s="4"/>
    </row>
    <row r="9" customFormat="false" ht="23.85" hidden="false" customHeight="false" outlineLevel="0" collapsed="false">
      <c r="A9" s="4" t="s">
        <v>113</v>
      </c>
      <c r="B9" s="4" t="s">
        <v>114</v>
      </c>
      <c r="C9" s="4" t="s">
        <v>115</v>
      </c>
      <c r="D9" s="4" t="s">
        <v>116</v>
      </c>
      <c r="E9" s="4" t="s">
        <v>117</v>
      </c>
      <c r="F9" s="4" t="s">
        <v>72</v>
      </c>
      <c r="G9" s="4" t="s">
        <v>118</v>
      </c>
      <c r="H9" s="7" t="s">
        <v>43</v>
      </c>
      <c r="I9" s="4"/>
    </row>
    <row r="10" customFormat="false" ht="23.85" hidden="false" customHeight="false" outlineLevel="0" collapsed="false">
      <c r="A10" s="4" t="s">
        <v>119</v>
      </c>
      <c r="B10" s="4" t="s">
        <v>120</v>
      </c>
      <c r="C10" s="4" t="s">
        <v>121</v>
      </c>
      <c r="D10" s="4" t="s">
        <v>122</v>
      </c>
      <c r="E10" s="4" t="s">
        <v>123</v>
      </c>
      <c r="F10" s="4" t="s">
        <v>56</v>
      </c>
      <c r="G10" s="4" t="s">
        <v>50</v>
      </c>
      <c r="H10" s="7" t="s">
        <v>43</v>
      </c>
      <c r="I10" s="4"/>
    </row>
    <row r="11" customFormat="false" ht="15" hidden="false" customHeight="false" outlineLevel="0" collapsed="false">
      <c r="A11" s="4" t="s">
        <v>124</v>
      </c>
      <c r="B11" s="4" t="s">
        <v>125</v>
      </c>
      <c r="C11" s="4" t="s">
        <v>126</v>
      </c>
      <c r="D11" s="4" t="s">
        <v>127</v>
      </c>
      <c r="E11" s="4" t="s">
        <v>128</v>
      </c>
      <c r="F11" s="4" t="s">
        <v>129</v>
      </c>
      <c r="G11" s="4" t="s">
        <v>42</v>
      </c>
      <c r="H11" s="7" t="s">
        <v>43</v>
      </c>
      <c r="I11" s="4"/>
    </row>
    <row r="14" customFormat="false" ht="15" hidden="false" customHeight="false" outlineLevel="0" collapsed="false">
      <c r="A14" s="8" t="s">
        <v>84</v>
      </c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true" outlineLevel="0" collapsed="false">
      <c r="A15" s="9" t="n">
        <v>1</v>
      </c>
      <c r="B15" s="10" t="s">
        <v>130</v>
      </c>
      <c r="C15" s="10"/>
      <c r="D15" s="10"/>
      <c r="E15" s="10"/>
      <c r="F15" s="10"/>
      <c r="G15" s="10"/>
      <c r="H15" s="7" t="s">
        <v>43</v>
      </c>
      <c r="I15" s="11"/>
    </row>
    <row r="16" customFormat="false" ht="15" hidden="false" customHeight="true" outlineLevel="0" collapsed="false">
      <c r="A16" s="9" t="n">
        <v>2</v>
      </c>
      <c r="B16" s="10" t="s">
        <v>131</v>
      </c>
      <c r="C16" s="10"/>
      <c r="D16" s="10"/>
      <c r="E16" s="10"/>
      <c r="F16" s="10"/>
      <c r="G16" s="10"/>
      <c r="H16" s="7" t="s">
        <v>43</v>
      </c>
      <c r="I16" s="11"/>
    </row>
    <row r="17" customFormat="false" ht="15" hidden="false" customHeight="true" outlineLevel="0" collapsed="false">
      <c r="A17" s="9" t="n">
        <v>3</v>
      </c>
      <c r="B17" s="10" t="s">
        <v>132</v>
      </c>
      <c r="C17" s="10"/>
      <c r="D17" s="10"/>
      <c r="E17" s="10"/>
      <c r="F17" s="10"/>
      <c r="G17" s="10"/>
      <c r="H17" s="7" t="s">
        <v>43</v>
      </c>
      <c r="I17" s="11"/>
    </row>
    <row r="18" customFormat="false" ht="15" hidden="false" customHeight="true" outlineLevel="0" collapsed="false">
      <c r="A18" s="9" t="n">
        <v>4</v>
      </c>
      <c r="B18" s="10" t="s">
        <v>133</v>
      </c>
      <c r="C18" s="10"/>
      <c r="D18" s="10"/>
      <c r="E18" s="10"/>
      <c r="F18" s="10"/>
      <c r="G18" s="10"/>
      <c r="H18" s="7" t="s">
        <v>43</v>
      </c>
      <c r="I18" s="11"/>
    </row>
    <row r="19" customFormat="false" ht="15" hidden="false" customHeight="true" outlineLevel="0" collapsed="false">
      <c r="A19" s="9" t="n">
        <v>5</v>
      </c>
      <c r="B19" s="10" t="s">
        <v>134</v>
      </c>
      <c r="C19" s="10"/>
      <c r="D19" s="10"/>
      <c r="E19" s="10"/>
      <c r="F19" s="10"/>
      <c r="G19" s="10"/>
      <c r="H19" s="7" t="s">
        <v>43</v>
      </c>
      <c r="I19" s="11"/>
    </row>
    <row r="21" customFormat="false" ht="26.85" hidden="false" customHeight="false" outlineLevel="0" collapsed="false">
      <c r="A21" s="12" t="s">
        <v>90</v>
      </c>
      <c r="B21" s="12"/>
      <c r="C21" s="12"/>
      <c r="D21" s="12"/>
      <c r="E21" s="12"/>
      <c r="F21" s="12"/>
      <c r="G21" s="12"/>
      <c r="H21" s="13" t="s">
        <v>43</v>
      </c>
    </row>
  </sheetData>
  <mergeCells count="9">
    <mergeCell ref="A1:I1"/>
    <mergeCell ref="A2:I2"/>
    <mergeCell ref="A14:I14"/>
    <mergeCell ref="B15:G15"/>
    <mergeCell ref="B16:G16"/>
    <mergeCell ref="B17:G17"/>
    <mergeCell ref="B18:G18"/>
    <mergeCell ref="B19:G19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8090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35"/>
    <col collapsed="false" customWidth="true" hidden="false" outlineLevel="0" max="5" min="5" style="0" width="2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5" t="s">
        <v>135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136</v>
      </c>
      <c r="B2" s="6"/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customFormat="false" ht="23.85" hidden="false" customHeight="false" outlineLevel="0" collapsed="false">
      <c r="A5" s="4" t="s">
        <v>137</v>
      </c>
      <c r="B5" s="4" t="s">
        <v>138</v>
      </c>
      <c r="C5" s="4" t="s">
        <v>139</v>
      </c>
      <c r="D5" s="4" t="s">
        <v>140</v>
      </c>
      <c r="E5" s="4" t="s">
        <v>141</v>
      </c>
      <c r="F5" s="4" t="s">
        <v>56</v>
      </c>
      <c r="G5" s="4" t="s">
        <v>42</v>
      </c>
      <c r="H5" s="7" t="s">
        <v>43</v>
      </c>
      <c r="I5" s="4"/>
    </row>
    <row r="6" customFormat="false" ht="23.85" hidden="false" customHeight="false" outlineLevel="0" collapsed="false">
      <c r="A6" s="4" t="s">
        <v>142</v>
      </c>
      <c r="B6" s="4" t="s">
        <v>143</v>
      </c>
      <c r="C6" s="4" t="s">
        <v>144</v>
      </c>
      <c r="D6" s="4" t="s">
        <v>145</v>
      </c>
      <c r="E6" s="4" t="s">
        <v>146</v>
      </c>
      <c r="F6" s="4" t="s">
        <v>56</v>
      </c>
      <c r="G6" s="4" t="s">
        <v>50</v>
      </c>
      <c r="H6" s="7" t="s">
        <v>43</v>
      </c>
      <c r="I6" s="4"/>
    </row>
    <row r="7" customFormat="false" ht="23.85" hidden="false" customHeight="false" outlineLevel="0" collapsed="false">
      <c r="A7" s="4" t="s">
        <v>147</v>
      </c>
      <c r="B7" s="4" t="s">
        <v>148</v>
      </c>
      <c r="C7" s="4" t="s">
        <v>149</v>
      </c>
      <c r="D7" s="4" t="s">
        <v>150</v>
      </c>
      <c r="E7" s="4" t="s">
        <v>111</v>
      </c>
      <c r="F7" s="4" t="s">
        <v>72</v>
      </c>
      <c r="G7" s="4" t="s">
        <v>73</v>
      </c>
      <c r="H7" s="7" t="s">
        <v>43</v>
      </c>
      <c r="I7" s="4"/>
    </row>
    <row r="8" customFormat="false" ht="23.85" hidden="false" customHeight="false" outlineLevel="0" collapsed="false">
      <c r="A8" s="4" t="s">
        <v>151</v>
      </c>
      <c r="B8" s="4" t="s">
        <v>152</v>
      </c>
      <c r="C8" s="4" t="s">
        <v>153</v>
      </c>
      <c r="D8" s="4" t="s">
        <v>154</v>
      </c>
      <c r="E8" s="4" t="s">
        <v>155</v>
      </c>
      <c r="F8" s="4" t="s">
        <v>49</v>
      </c>
      <c r="G8" s="4" t="s">
        <v>66</v>
      </c>
      <c r="H8" s="7" t="s">
        <v>43</v>
      </c>
      <c r="I8" s="4"/>
    </row>
    <row r="9" customFormat="false" ht="23.85" hidden="false" customHeight="false" outlineLevel="0" collapsed="false">
      <c r="A9" s="4" t="s">
        <v>156</v>
      </c>
      <c r="B9" s="4" t="s">
        <v>157</v>
      </c>
      <c r="C9" s="4" t="s">
        <v>158</v>
      </c>
      <c r="D9" s="4" t="s">
        <v>159</v>
      </c>
      <c r="E9" s="4" t="s">
        <v>160</v>
      </c>
      <c r="F9" s="4" t="s">
        <v>56</v>
      </c>
      <c r="G9" s="4" t="s">
        <v>50</v>
      </c>
      <c r="H9" s="7" t="s">
        <v>43</v>
      </c>
      <c r="I9" s="4"/>
    </row>
    <row r="10" customFormat="false" ht="15" hidden="false" customHeight="false" outlineLevel="0" collapsed="false">
      <c r="A10" s="4" t="s">
        <v>161</v>
      </c>
      <c r="B10" s="4" t="s">
        <v>162</v>
      </c>
      <c r="C10" s="4" t="s">
        <v>163</v>
      </c>
      <c r="D10" s="4" t="s">
        <v>164</v>
      </c>
      <c r="E10" s="4" t="s">
        <v>165</v>
      </c>
      <c r="F10" s="4" t="s">
        <v>72</v>
      </c>
      <c r="G10" s="4" t="s">
        <v>73</v>
      </c>
      <c r="H10" s="7" t="s">
        <v>43</v>
      </c>
      <c r="I10" s="4"/>
    </row>
    <row r="11" customFormat="false" ht="23.85" hidden="false" customHeight="false" outlineLevel="0" collapsed="false">
      <c r="A11" s="4" t="s">
        <v>166</v>
      </c>
      <c r="B11" s="4" t="s">
        <v>167</v>
      </c>
      <c r="C11" s="4" t="s">
        <v>168</v>
      </c>
      <c r="D11" s="4" t="s">
        <v>169</v>
      </c>
      <c r="E11" s="4" t="s">
        <v>170</v>
      </c>
      <c r="F11" s="4" t="s">
        <v>129</v>
      </c>
      <c r="G11" s="4" t="s">
        <v>73</v>
      </c>
      <c r="H11" s="7" t="s">
        <v>43</v>
      </c>
      <c r="I11" s="4"/>
    </row>
    <row r="14" customFormat="false" ht="15" hidden="false" customHeight="false" outlineLevel="0" collapsed="false">
      <c r="A14" s="8" t="s">
        <v>84</v>
      </c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true" outlineLevel="0" collapsed="false">
      <c r="A15" s="9" t="n">
        <v>1</v>
      </c>
      <c r="B15" s="10" t="s">
        <v>171</v>
      </c>
      <c r="C15" s="10"/>
      <c r="D15" s="10"/>
      <c r="E15" s="10"/>
      <c r="F15" s="10"/>
      <c r="G15" s="10"/>
      <c r="H15" s="7" t="s">
        <v>43</v>
      </c>
      <c r="I15" s="11"/>
    </row>
    <row r="16" customFormat="false" ht="15" hidden="false" customHeight="true" outlineLevel="0" collapsed="false">
      <c r="A16" s="9" t="n">
        <v>2</v>
      </c>
      <c r="B16" s="10" t="s">
        <v>172</v>
      </c>
      <c r="C16" s="10"/>
      <c r="D16" s="10"/>
      <c r="E16" s="10"/>
      <c r="F16" s="10"/>
      <c r="G16" s="10"/>
      <c r="H16" s="7" t="s">
        <v>43</v>
      </c>
      <c r="I16" s="11"/>
    </row>
    <row r="17" customFormat="false" ht="15" hidden="false" customHeight="true" outlineLevel="0" collapsed="false">
      <c r="A17" s="9" t="n">
        <v>3</v>
      </c>
      <c r="B17" s="10" t="s">
        <v>173</v>
      </c>
      <c r="C17" s="10"/>
      <c r="D17" s="10"/>
      <c r="E17" s="10"/>
      <c r="F17" s="10"/>
      <c r="G17" s="10"/>
      <c r="H17" s="7" t="s">
        <v>43</v>
      </c>
      <c r="I17" s="11"/>
    </row>
    <row r="18" customFormat="false" ht="15" hidden="false" customHeight="true" outlineLevel="0" collapsed="false">
      <c r="A18" s="9" t="n">
        <v>4</v>
      </c>
      <c r="B18" s="10" t="s">
        <v>174</v>
      </c>
      <c r="C18" s="10"/>
      <c r="D18" s="10"/>
      <c r="E18" s="10"/>
      <c r="F18" s="10"/>
      <c r="G18" s="10"/>
      <c r="H18" s="7" t="s">
        <v>43</v>
      </c>
      <c r="I18" s="11"/>
    </row>
    <row r="19" customFormat="false" ht="15" hidden="false" customHeight="true" outlineLevel="0" collapsed="false">
      <c r="A19" s="9" t="n">
        <v>5</v>
      </c>
      <c r="B19" s="10" t="s">
        <v>175</v>
      </c>
      <c r="C19" s="10"/>
      <c r="D19" s="10"/>
      <c r="E19" s="10"/>
      <c r="F19" s="10"/>
      <c r="G19" s="10"/>
      <c r="H19" s="7" t="s">
        <v>43</v>
      </c>
      <c r="I19" s="11"/>
    </row>
    <row r="21" customFormat="false" ht="26.85" hidden="false" customHeight="false" outlineLevel="0" collapsed="false">
      <c r="A21" s="12" t="s">
        <v>90</v>
      </c>
      <c r="B21" s="12"/>
      <c r="C21" s="12"/>
      <c r="D21" s="12"/>
      <c r="E21" s="12"/>
      <c r="F21" s="12"/>
      <c r="G21" s="12"/>
      <c r="H21" s="13" t="s">
        <v>43</v>
      </c>
    </row>
  </sheetData>
  <mergeCells count="9">
    <mergeCell ref="A1:I1"/>
    <mergeCell ref="A2:I2"/>
    <mergeCell ref="A14:I14"/>
    <mergeCell ref="B15:G15"/>
    <mergeCell ref="B16:G16"/>
    <mergeCell ref="B17:G17"/>
    <mergeCell ref="B18:G18"/>
    <mergeCell ref="B19:G19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8090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35"/>
    <col collapsed="false" customWidth="true" hidden="false" outlineLevel="0" max="5" min="5" style="0" width="2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5" t="s">
        <v>176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136</v>
      </c>
      <c r="B2" s="6"/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customFormat="false" ht="23.85" hidden="false" customHeight="false" outlineLevel="0" collapsed="false">
      <c r="A5" s="4" t="s">
        <v>177</v>
      </c>
      <c r="B5" s="4" t="s">
        <v>178</v>
      </c>
      <c r="C5" s="4" t="s">
        <v>179</v>
      </c>
      <c r="D5" s="4" t="s">
        <v>180</v>
      </c>
      <c r="E5" s="4" t="s">
        <v>181</v>
      </c>
      <c r="F5" s="4" t="s">
        <v>56</v>
      </c>
      <c r="G5" s="4" t="s">
        <v>50</v>
      </c>
      <c r="H5" s="7" t="s">
        <v>43</v>
      </c>
      <c r="I5" s="4"/>
    </row>
    <row r="6" customFormat="false" ht="23.85" hidden="false" customHeight="false" outlineLevel="0" collapsed="false">
      <c r="A6" s="4" t="s">
        <v>182</v>
      </c>
      <c r="B6" s="4" t="s">
        <v>183</v>
      </c>
      <c r="C6" s="4" t="s">
        <v>184</v>
      </c>
      <c r="D6" s="4" t="s">
        <v>185</v>
      </c>
      <c r="E6" s="4" t="s">
        <v>111</v>
      </c>
      <c r="F6" s="4" t="s">
        <v>72</v>
      </c>
      <c r="G6" s="4" t="s">
        <v>186</v>
      </c>
      <c r="H6" s="7" t="s">
        <v>43</v>
      </c>
      <c r="I6" s="4"/>
    </row>
    <row r="7" customFormat="false" ht="15" hidden="false" customHeight="false" outlineLevel="0" collapsed="false">
      <c r="A7" s="4" t="s">
        <v>187</v>
      </c>
      <c r="B7" s="4" t="s">
        <v>188</v>
      </c>
      <c r="C7" s="4" t="s">
        <v>189</v>
      </c>
      <c r="D7" s="4" t="s">
        <v>190</v>
      </c>
      <c r="E7" s="4" t="s">
        <v>191</v>
      </c>
      <c r="F7" s="4" t="s">
        <v>56</v>
      </c>
      <c r="G7" s="4" t="s">
        <v>42</v>
      </c>
      <c r="H7" s="7" t="s">
        <v>43</v>
      </c>
      <c r="I7" s="4"/>
    </row>
    <row r="8" customFormat="false" ht="15" hidden="false" customHeight="false" outlineLevel="0" collapsed="false">
      <c r="A8" s="4" t="s">
        <v>192</v>
      </c>
      <c r="B8" s="4" t="s">
        <v>193</v>
      </c>
      <c r="C8" s="4" t="s">
        <v>194</v>
      </c>
      <c r="D8" s="4" t="s">
        <v>195</v>
      </c>
      <c r="E8" s="4" t="s">
        <v>196</v>
      </c>
      <c r="F8" s="4" t="s">
        <v>49</v>
      </c>
      <c r="G8" s="4" t="s">
        <v>197</v>
      </c>
      <c r="H8" s="7" t="s">
        <v>43</v>
      </c>
      <c r="I8" s="4"/>
    </row>
    <row r="9" customFormat="false" ht="23.85" hidden="false" customHeight="false" outlineLevel="0" collapsed="false">
      <c r="A9" s="4" t="s">
        <v>198</v>
      </c>
      <c r="B9" s="4" t="s">
        <v>199</v>
      </c>
      <c r="C9" s="4" t="s">
        <v>200</v>
      </c>
      <c r="D9" s="4" t="s">
        <v>201</v>
      </c>
      <c r="E9" s="4" t="s">
        <v>202</v>
      </c>
      <c r="F9" s="4" t="s">
        <v>56</v>
      </c>
      <c r="G9" s="4" t="s">
        <v>42</v>
      </c>
      <c r="H9" s="7" t="s">
        <v>43</v>
      </c>
      <c r="I9" s="4"/>
    </row>
    <row r="10" customFormat="false" ht="23.85" hidden="false" customHeight="false" outlineLevel="0" collapsed="false">
      <c r="A10" s="4" t="s">
        <v>203</v>
      </c>
      <c r="B10" s="4" t="s">
        <v>204</v>
      </c>
      <c r="C10" s="4" t="s">
        <v>205</v>
      </c>
      <c r="D10" s="4" t="s">
        <v>206</v>
      </c>
      <c r="E10" s="4" t="s">
        <v>207</v>
      </c>
      <c r="F10" s="4" t="s">
        <v>49</v>
      </c>
      <c r="G10" s="4" t="s">
        <v>208</v>
      </c>
      <c r="H10" s="7" t="s">
        <v>43</v>
      </c>
      <c r="I10" s="4"/>
    </row>
    <row r="11" customFormat="false" ht="15" hidden="false" customHeight="false" outlineLevel="0" collapsed="false">
      <c r="A11" s="4" t="s">
        <v>209</v>
      </c>
      <c r="B11" s="4" t="s">
        <v>210</v>
      </c>
      <c r="C11" s="4" t="s">
        <v>211</v>
      </c>
      <c r="D11" s="4" t="s">
        <v>212</v>
      </c>
      <c r="E11" s="4" t="s">
        <v>213</v>
      </c>
      <c r="F11" s="4" t="s">
        <v>72</v>
      </c>
      <c r="G11" s="4" t="s">
        <v>186</v>
      </c>
      <c r="H11" s="7" t="s">
        <v>43</v>
      </c>
      <c r="I11" s="4"/>
    </row>
    <row r="14" customFormat="false" ht="15" hidden="false" customHeight="false" outlineLevel="0" collapsed="false">
      <c r="A14" s="8" t="s">
        <v>84</v>
      </c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true" outlineLevel="0" collapsed="false">
      <c r="A15" s="9" t="n">
        <v>1</v>
      </c>
      <c r="B15" s="10" t="s">
        <v>214</v>
      </c>
      <c r="C15" s="10"/>
      <c r="D15" s="10"/>
      <c r="E15" s="10"/>
      <c r="F15" s="10"/>
      <c r="G15" s="10"/>
      <c r="H15" s="7" t="s">
        <v>43</v>
      </c>
      <c r="I15" s="11"/>
    </row>
    <row r="16" customFormat="false" ht="15" hidden="false" customHeight="true" outlineLevel="0" collapsed="false">
      <c r="A16" s="9" t="n">
        <v>2</v>
      </c>
      <c r="B16" s="10" t="s">
        <v>215</v>
      </c>
      <c r="C16" s="10"/>
      <c r="D16" s="10"/>
      <c r="E16" s="10"/>
      <c r="F16" s="10"/>
      <c r="G16" s="10"/>
      <c r="H16" s="7" t="s">
        <v>43</v>
      </c>
      <c r="I16" s="11"/>
    </row>
    <row r="17" customFormat="false" ht="15" hidden="false" customHeight="true" outlineLevel="0" collapsed="false">
      <c r="A17" s="9" t="n">
        <v>3</v>
      </c>
      <c r="B17" s="10" t="s">
        <v>216</v>
      </c>
      <c r="C17" s="10"/>
      <c r="D17" s="10"/>
      <c r="E17" s="10"/>
      <c r="F17" s="10"/>
      <c r="G17" s="10"/>
      <c r="H17" s="7" t="s">
        <v>43</v>
      </c>
      <c r="I17" s="11"/>
    </row>
    <row r="18" customFormat="false" ht="15" hidden="false" customHeight="true" outlineLevel="0" collapsed="false">
      <c r="A18" s="9" t="n">
        <v>4</v>
      </c>
      <c r="B18" s="10" t="s">
        <v>217</v>
      </c>
      <c r="C18" s="10"/>
      <c r="D18" s="10"/>
      <c r="E18" s="10"/>
      <c r="F18" s="10"/>
      <c r="G18" s="10"/>
      <c r="H18" s="7" t="s">
        <v>43</v>
      </c>
      <c r="I18" s="11"/>
    </row>
    <row r="19" customFormat="false" ht="15" hidden="false" customHeight="true" outlineLevel="0" collapsed="false">
      <c r="A19" s="9" t="n">
        <v>5</v>
      </c>
      <c r="B19" s="10" t="s">
        <v>218</v>
      </c>
      <c r="C19" s="10"/>
      <c r="D19" s="10"/>
      <c r="E19" s="10"/>
      <c r="F19" s="10"/>
      <c r="G19" s="10"/>
      <c r="H19" s="7" t="s">
        <v>43</v>
      </c>
      <c r="I19" s="11"/>
    </row>
    <row r="21" customFormat="false" ht="26.85" hidden="false" customHeight="false" outlineLevel="0" collapsed="false">
      <c r="A21" s="12" t="s">
        <v>90</v>
      </c>
      <c r="B21" s="12"/>
      <c r="C21" s="12"/>
      <c r="D21" s="12"/>
      <c r="E21" s="12"/>
      <c r="F21" s="12"/>
      <c r="G21" s="12"/>
      <c r="H21" s="13" t="s">
        <v>43</v>
      </c>
    </row>
  </sheetData>
  <mergeCells count="9">
    <mergeCell ref="A1:I1"/>
    <mergeCell ref="A2:I2"/>
    <mergeCell ref="A14:I14"/>
    <mergeCell ref="B15:G15"/>
    <mergeCell ref="B16:G16"/>
    <mergeCell ref="B17:G17"/>
    <mergeCell ref="B18:G18"/>
    <mergeCell ref="B19:G19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8090"/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35"/>
    <col collapsed="false" customWidth="true" hidden="false" outlineLevel="0" max="5" min="5" style="0" width="2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5" t="s">
        <v>219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220</v>
      </c>
      <c r="B2" s="6"/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customFormat="false" ht="23.85" hidden="false" customHeight="false" outlineLevel="0" collapsed="false">
      <c r="A5" s="4" t="s">
        <v>221</v>
      </c>
      <c r="B5" s="4" t="s">
        <v>222</v>
      </c>
      <c r="C5" s="4" t="s">
        <v>223</v>
      </c>
      <c r="D5" s="4" t="s">
        <v>224</v>
      </c>
      <c r="E5" s="4" t="s">
        <v>225</v>
      </c>
      <c r="F5" s="4" t="s">
        <v>56</v>
      </c>
      <c r="G5" s="4" t="s">
        <v>226</v>
      </c>
      <c r="H5" s="7" t="s">
        <v>43</v>
      </c>
      <c r="I5" s="4"/>
    </row>
    <row r="6" customFormat="false" ht="23.85" hidden="false" customHeight="false" outlineLevel="0" collapsed="false">
      <c r="A6" s="4" t="s">
        <v>227</v>
      </c>
      <c r="B6" s="4" t="s">
        <v>228</v>
      </c>
      <c r="C6" s="4" t="s">
        <v>229</v>
      </c>
      <c r="D6" s="4" t="s">
        <v>230</v>
      </c>
      <c r="E6" s="4" t="s">
        <v>231</v>
      </c>
      <c r="F6" s="4" t="s">
        <v>56</v>
      </c>
      <c r="G6" s="4" t="s">
        <v>42</v>
      </c>
      <c r="H6" s="7" t="s">
        <v>43</v>
      </c>
      <c r="I6" s="4"/>
    </row>
    <row r="7" customFormat="false" ht="15" hidden="false" customHeight="false" outlineLevel="0" collapsed="false">
      <c r="A7" s="4" t="s">
        <v>232</v>
      </c>
      <c r="B7" s="4" t="s">
        <v>233</v>
      </c>
      <c r="C7" s="4" t="s">
        <v>234</v>
      </c>
      <c r="D7" s="4" t="s">
        <v>235</v>
      </c>
      <c r="E7" s="4" t="s">
        <v>236</v>
      </c>
      <c r="F7" s="4" t="s">
        <v>72</v>
      </c>
      <c r="G7" s="4" t="s">
        <v>73</v>
      </c>
      <c r="H7" s="7" t="s">
        <v>43</v>
      </c>
      <c r="I7" s="4"/>
    </row>
    <row r="8" customFormat="false" ht="23.85" hidden="false" customHeight="false" outlineLevel="0" collapsed="false">
      <c r="A8" s="4" t="s">
        <v>237</v>
      </c>
      <c r="B8" s="4" t="s">
        <v>238</v>
      </c>
      <c r="C8" s="4" t="s">
        <v>239</v>
      </c>
      <c r="D8" s="4" t="s">
        <v>240</v>
      </c>
      <c r="E8" s="4" t="s">
        <v>241</v>
      </c>
      <c r="F8" s="4" t="s">
        <v>56</v>
      </c>
      <c r="G8" s="4" t="s">
        <v>50</v>
      </c>
      <c r="H8" s="7" t="s">
        <v>43</v>
      </c>
      <c r="I8" s="4"/>
    </row>
    <row r="9" customFormat="false" ht="23.85" hidden="false" customHeight="false" outlineLevel="0" collapsed="false">
      <c r="A9" s="4" t="s">
        <v>242</v>
      </c>
      <c r="B9" s="4" t="s">
        <v>243</v>
      </c>
      <c r="C9" s="4" t="s">
        <v>244</v>
      </c>
      <c r="D9" s="4" t="s">
        <v>245</v>
      </c>
      <c r="E9" s="4" t="s">
        <v>246</v>
      </c>
      <c r="F9" s="4" t="s">
        <v>56</v>
      </c>
      <c r="G9" s="4" t="s">
        <v>42</v>
      </c>
      <c r="H9" s="7" t="s">
        <v>43</v>
      </c>
      <c r="I9" s="4"/>
    </row>
    <row r="10" customFormat="false" ht="23.85" hidden="false" customHeight="false" outlineLevel="0" collapsed="false">
      <c r="A10" s="4" t="s">
        <v>247</v>
      </c>
      <c r="B10" s="4" t="s">
        <v>248</v>
      </c>
      <c r="C10" s="4" t="s">
        <v>249</v>
      </c>
      <c r="D10" s="4" t="s">
        <v>250</v>
      </c>
      <c r="E10" s="4" t="s">
        <v>251</v>
      </c>
      <c r="F10" s="4" t="s">
        <v>72</v>
      </c>
      <c r="G10" s="4" t="s">
        <v>226</v>
      </c>
      <c r="H10" s="7" t="s">
        <v>43</v>
      </c>
      <c r="I10" s="4"/>
    </row>
    <row r="13" customFormat="false" ht="15" hidden="false" customHeight="false" outlineLevel="0" collapsed="false">
      <c r="A13" s="8" t="s">
        <v>84</v>
      </c>
      <c r="B13" s="8"/>
      <c r="C13" s="8"/>
      <c r="D13" s="8"/>
      <c r="E13" s="8"/>
      <c r="F13" s="8"/>
      <c r="G13" s="8"/>
      <c r="H13" s="8"/>
      <c r="I13" s="8"/>
    </row>
    <row r="14" customFormat="false" ht="15" hidden="false" customHeight="true" outlineLevel="0" collapsed="false">
      <c r="A14" s="9" t="n">
        <v>1</v>
      </c>
      <c r="B14" s="10" t="s">
        <v>252</v>
      </c>
      <c r="C14" s="10"/>
      <c r="D14" s="10"/>
      <c r="E14" s="10"/>
      <c r="F14" s="10"/>
      <c r="G14" s="10"/>
      <c r="H14" s="7" t="s">
        <v>43</v>
      </c>
      <c r="I14" s="11"/>
    </row>
    <row r="15" customFormat="false" ht="15" hidden="false" customHeight="true" outlineLevel="0" collapsed="false">
      <c r="A15" s="9" t="n">
        <v>2</v>
      </c>
      <c r="B15" s="10" t="s">
        <v>253</v>
      </c>
      <c r="C15" s="10"/>
      <c r="D15" s="10"/>
      <c r="E15" s="10"/>
      <c r="F15" s="10"/>
      <c r="G15" s="10"/>
      <c r="H15" s="7" t="s">
        <v>43</v>
      </c>
      <c r="I15" s="11"/>
    </row>
    <row r="16" customFormat="false" ht="15" hidden="false" customHeight="true" outlineLevel="0" collapsed="false">
      <c r="A16" s="9" t="n">
        <v>3</v>
      </c>
      <c r="B16" s="10" t="s">
        <v>254</v>
      </c>
      <c r="C16" s="10"/>
      <c r="D16" s="10"/>
      <c r="E16" s="10"/>
      <c r="F16" s="10"/>
      <c r="G16" s="10"/>
      <c r="H16" s="7" t="s">
        <v>43</v>
      </c>
      <c r="I16" s="11"/>
    </row>
    <row r="17" customFormat="false" ht="15" hidden="false" customHeight="true" outlineLevel="0" collapsed="false">
      <c r="A17" s="9" t="n">
        <v>4</v>
      </c>
      <c r="B17" s="10" t="s">
        <v>255</v>
      </c>
      <c r="C17" s="10"/>
      <c r="D17" s="10"/>
      <c r="E17" s="10"/>
      <c r="F17" s="10"/>
      <c r="G17" s="10"/>
      <c r="H17" s="7" t="s">
        <v>43</v>
      </c>
      <c r="I17" s="11"/>
    </row>
    <row r="18" customFormat="false" ht="15" hidden="false" customHeight="true" outlineLevel="0" collapsed="false">
      <c r="A18" s="9" t="n">
        <v>5</v>
      </c>
      <c r="B18" s="10" t="s">
        <v>256</v>
      </c>
      <c r="C18" s="10"/>
      <c r="D18" s="10"/>
      <c r="E18" s="10"/>
      <c r="F18" s="10"/>
      <c r="G18" s="10"/>
      <c r="H18" s="7" t="s">
        <v>43</v>
      </c>
      <c r="I18" s="11"/>
    </row>
    <row r="20" customFormat="false" ht="26.85" hidden="false" customHeight="false" outlineLevel="0" collapsed="false">
      <c r="A20" s="12" t="s">
        <v>90</v>
      </c>
      <c r="B20" s="12"/>
      <c r="C20" s="12"/>
      <c r="D20" s="12"/>
      <c r="E20" s="12"/>
      <c r="F20" s="12"/>
      <c r="G20" s="12"/>
      <c r="H20" s="13" t="s">
        <v>43</v>
      </c>
    </row>
  </sheetData>
  <mergeCells count="9">
    <mergeCell ref="A1:I1"/>
    <mergeCell ref="A2:I2"/>
    <mergeCell ref="A13:I13"/>
    <mergeCell ref="B14:G14"/>
    <mergeCell ref="B15:G15"/>
    <mergeCell ref="B16:G16"/>
    <mergeCell ref="B17:G17"/>
    <mergeCell ref="B18:G18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8090"/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35"/>
    <col collapsed="false" customWidth="true" hidden="false" outlineLevel="0" max="5" min="5" style="0" width="2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5"/>
  </cols>
  <sheetData>
    <row r="1" customFormat="false" ht="17.35" hidden="false" customHeight="false" outlineLevel="0" collapsed="false">
      <c r="A1" s="5" t="s">
        <v>257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258</v>
      </c>
      <c r="B2" s="6"/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customFormat="false" ht="15" hidden="false" customHeight="false" outlineLevel="0" collapsed="false">
      <c r="A5" s="4" t="s">
        <v>259</v>
      </c>
      <c r="B5" s="4" t="s">
        <v>260</v>
      </c>
      <c r="C5" s="4" t="s">
        <v>261</v>
      </c>
      <c r="D5" s="4" t="s">
        <v>262</v>
      </c>
      <c r="E5" s="4" t="s">
        <v>263</v>
      </c>
      <c r="F5" s="4" t="s">
        <v>41</v>
      </c>
      <c r="G5" s="4" t="s">
        <v>197</v>
      </c>
      <c r="H5" s="7" t="s">
        <v>43</v>
      </c>
      <c r="I5" s="4"/>
    </row>
    <row r="6" customFormat="false" ht="15" hidden="false" customHeight="false" outlineLevel="0" collapsed="false">
      <c r="A6" s="4" t="s">
        <v>264</v>
      </c>
      <c r="B6" s="4" t="s">
        <v>265</v>
      </c>
      <c r="C6" s="4" t="s">
        <v>266</v>
      </c>
      <c r="D6" s="4" t="s">
        <v>267</v>
      </c>
      <c r="E6" s="4" t="s">
        <v>268</v>
      </c>
      <c r="F6" s="4" t="s">
        <v>41</v>
      </c>
      <c r="G6" s="4" t="s">
        <v>197</v>
      </c>
      <c r="H6" s="7" t="s">
        <v>43</v>
      </c>
      <c r="I6" s="4"/>
    </row>
    <row r="7" customFormat="false" ht="23.85" hidden="false" customHeight="false" outlineLevel="0" collapsed="false">
      <c r="A7" s="4" t="s">
        <v>269</v>
      </c>
      <c r="B7" s="4" t="s">
        <v>270</v>
      </c>
      <c r="C7" s="4" t="s">
        <v>271</v>
      </c>
      <c r="D7" s="4" t="s">
        <v>272</v>
      </c>
      <c r="E7" s="4" t="s">
        <v>273</v>
      </c>
      <c r="F7" s="4" t="s">
        <v>56</v>
      </c>
      <c r="G7" s="4" t="s">
        <v>42</v>
      </c>
      <c r="H7" s="7" t="s">
        <v>43</v>
      </c>
      <c r="I7" s="4"/>
    </row>
    <row r="8" customFormat="false" ht="23.85" hidden="false" customHeight="false" outlineLevel="0" collapsed="false">
      <c r="A8" s="4" t="s">
        <v>274</v>
      </c>
      <c r="B8" s="4" t="s">
        <v>275</v>
      </c>
      <c r="C8" s="4" t="s">
        <v>276</v>
      </c>
      <c r="D8" s="4" t="s">
        <v>277</v>
      </c>
      <c r="E8" s="4" t="s">
        <v>278</v>
      </c>
      <c r="F8" s="4" t="s">
        <v>56</v>
      </c>
      <c r="G8" s="4" t="s">
        <v>50</v>
      </c>
      <c r="H8" s="7" t="s">
        <v>43</v>
      </c>
      <c r="I8" s="4"/>
    </row>
    <row r="9" customFormat="false" ht="23.85" hidden="false" customHeight="false" outlineLevel="0" collapsed="false">
      <c r="A9" s="4" t="s">
        <v>279</v>
      </c>
      <c r="B9" s="4" t="s">
        <v>280</v>
      </c>
      <c r="C9" s="4" t="s">
        <v>281</v>
      </c>
      <c r="D9" s="4" t="s">
        <v>282</v>
      </c>
      <c r="E9" s="4" t="s">
        <v>283</v>
      </c>
      <c r="F9" s="4" t="s">
        <v>72</v>
      </c>
      <c r="G9" s="4" t="s">
        <v>118</v>
      </c>
      <c r="H9" s="7" t="s">
        <v>43</v>
      </c>
      <c r="I9" s="4"/>
    </row>
    <row r="12" customFormat="false" ht="15" hidden="false" customHeight="false" outlineLevel="0" collapsed="false">
      <c r="A12" s="8" t="s">
        <v>84</v>
      </c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true" outlineLevel="0" collapsed="false">
      <c r="A13" s="9" t="n">
        <v>1</v>
      </c>
      <c r="B13" s="10" t="s">
        <v>284</v>
      </c>
      <c r="C13" s="10"/>
      <c r="D13" s="10"/>
      <c r="E13" s="10"/>
      <c r="F13" s="10"/>
      <c r="G13" s="10"/>
      <c r="H13" s="7" t="s">
        <v>43</v>
      </c>
      <c r="I13" s="11"/>
    </row>
    <row r="14" customFormat="false" ht="15" hidden="false" customHeight="true" outlineLevel="0" collapsed="false">
      <c r="A14" s="9" t="n">
        <v>2</v>
      </c>
      <c r="B14" s="10" t="s">
        <v>285</v>
      </c>
      <c r="C14" s="10"/>
      <c r="D14" s="10"/>
      <c r="E14" s="10"/>
      <c r="F14" s="10"/>
      <c r="G14" s="10"/>
      <c r="H14" s="7" t="s">
        <v>43</v>
      </c>
      <c r="I14" s="11"/>
    </row>
    <row r="15" customFormat="false" ht="15" hidden="false" customHeight="true" outlineLevel="0" collapsed="false">
      <c r="A15" s="9" t="n">
        <v>3</v>
      </c>
      <c r="B15" s="10" t="s">
        <v>286</v>
      </c>
      <c r="C15" s="10"/>
      <c r="D15" s="10"/>
      <c r="E15" s="10"/>
      <c r="F15" s="10"/>
      <c r="G15" s="10"/>
      <c r="H15" s="7" t="s">
        <v>43</v>
      </c>
      <c r="I15" s="11"/>
    </row>
    <row r="16" customFormat="false" ht="15" hidden="false" customHeight="true" outlineLevel="0" collapsed="false">
      <c r="A16" s="9" t="n">
        <v>4</v>
      </c>
      <c r="B16" s="10" t="s">
        <v>287</v>
      </c>
      <c r="C16" s="10"/>
      <c r="D16" s="10"/>
      <c r="E16" s="10"/>
      <c r="F16" s="10"/>
      <c r="G16" s="10"/>
      <c r="H16" s="7" t="s">
        <v>43</v>
      </c>
      <c r="I16" s="11"/>
    </row>
    <row r="17" customFormat="false" ht="15" hidden="false" customHeight="true" outlineLevel="0" collapsed="false">
      <c r="A17" s="9" t="n">
        <v>5</v>
      </c>
      <c r="B17" s="10" t="s">
        <v>288</v>
      </c>
      <c r="C17" s="10"/>
      <c r="D17" s="10"/>
      <c r="E17" s="10"/>
      <c r="F17" s="10"/>
      <c r="G17" s="10"/>
      <c r="H17" s="7" t="s">
        <v>43</v>
      </c>
      <c r="I17" s="11"/>
    </row>
    <row r="19" customFormat="false" ht="26.85" hidden="false" customHeight="false" outlineLevel="0" collapsed="false">
      <c r="A19" s="12" t="s">
        <v>90</v>
      </c>
      <c r="B19" s="12"/>
      <c r="C19" s="12"/>
      <c r="D19" s="12"/>
      <c r="E19" s="12"/>
      <c r="F19" s="12"/>
      <c r="G19" s="12"/>
      <c r="H19" s="13" t="s">
        <v>43</v>
      </c>
    </row>
  </sheetData>
  <mergeCells count="9">
    <mergeCell ref="A1:I1"/>
    <mergeCell ref="A2:I2"/>
    <mergeCell ref="A12:I12"/>
    <mergeCell ref="B13:G13"/>
    <mergeCell ref="B14:G14"/>
    <mergeCell ref="B15:G15"/>
    <mergeCell ref="B16:G16"/>
    <mergeCell ref="B17:G17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2026-04-24T22:18:53Z</dcterms:created>
  <dc:creator>openpyxl</dc:creator>
  <dc:description/>
  <dc:language>en-US</dc:language>
  <cp:lastModifiedBy/>
  <dcterms:modified xsi:type="dcterms:W3CDTF">2026-04-24T22:18:53Z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